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yment" sheetId="1" r:id="rId5"/>
    <sheet state="visible" name="Manual Test Matrix" sheetId="2" r:id="rId6"/>
    <sheet state="visible" name="API Matrix" sheetId="3" r:id="rId7"/>
    <sheet state="visible" name="Bug Reports" sheetId="4" r:id="rId8"/>
    <sheet state="visible" name="Observations  Enhancements" sheetId="5" r:id="rId9"/>
  </sheets>
  <definedNames/>
  <calcPr/>
</workbook>
</file>

<file path=xl/sharedStrings.xml><?xml version="1.0" encoding="utf-8"?>
<sst xmlns="http://schemas.openxmlformats.org/spreadsheetml/2006/main" count="386" uniqueCount="251">
  <si>
    <t>Dependents</t>
  </si>
  <si>
    <t>Salary</t>
  </si>
  <si>
    <t>Gross Pay</t>
  </si>
  <si>
    <t xml:space="preserve">Benefits Cost </t>
  </si>
  <si>
    <t>Net Pay</t>
  </si>
  <si>
    <t>Benefit Costs</t>
  </si>
  <si>
    <t>Net Payment</t>
  </si>
  <si>
    <t>($1000 + (dependents * $500)) / 26</t>
  </si>
  <si>
    <t>$2000 - Benefits Cost</t>
  </si>
  <si>
    <t>Notes:</t>
  </si>
  <si>
    <t>This sheet includes the amortization table and supporting formulas used to validate employee 
salary calculations, benefits deductions, gross income, and net pay during manual and automated testing execution.</t>
  </si>
  <si>
    <t>Test Case ID</t>
  </si>
  <si>
    <t>Title</t>
  </si>
  <si>
    <t>Priority</t>
  </si>
  <si>
    <t>Preconditions</t>
  </si>
  <si>
    <t>Test Data</t>
  </si>
  <si>
    <t>Steps</t>
  </si>
  <si>
    <t>Expected Results</t>
  </si>
  <si>
    <t>Status</t>
  </si>
  <si>
    <t>Related BUG</t>
  </si>
  <si>
    <t>TC-001</t>
  </si>
  <si>
    <t>Validate User Login Successfully</t>
  </si>
  <si>
    <t>High</t>
  </si>
  <si>
    <t>User is on Login page</t>
  </si>
  <si>
    <t>Valid username and password</t>
  </si>
  <si>
    <t>1. Enter valid username.
2. Enter valid password.
3. Click Login button.</t>
  </si>
  <si>
    <t>- User logs in successfully.
- Paylocity Benefits Dashboard page is displayed.
- Employee table and Add Employee button are visible.</t>
  </si>
  <si>
    <t>PASS</t>
  </si>
  <si>
    <t>TC-002</t>
  </si>
  <si>
    <t>Validate User Logout Successfully</t>
  </si>
  <si>
    <t>Medium</t>
  </si>
  <si>
    <t>User is logged into the application</t>
  </si>
  <si>
    <t>N/A</t>
  </si>
  <si>
    <t>1. Click Logout Hyperlink.
2. Wait for page redirection.</t>
  </si>
  <si>
    <t>- User session closes successfully.
- User is redirected to the Login page.
- Protected pages are no longer accessible.</t>
  </si>
  <si>
    <t>TC-003</t>
  </si>
  <si>
    <t>Validate Missing Username Validation</t>
  </si>
  <si>
    <t>Username: Empty
Password: Valid password</t>
  </si>
  <si>
    <t>1. Leave Username field empty.
2. Enter valid password.
3. Click Login button.</t>
  </si>
  <si>
    <t>- Validation message is displayed indicating Username is required:
  There were one or more problems that prevented you from logging in:
  The Username field is required
- User is not logged into the application.</t>
  </si>
  <si>
    <t>TC-004</t>
  </si>
  <si>
    <t>Validate Missing Password Validation</t>
  </si>
  <si>
    <t>Username: Valid username
Password: Empty</t>
  </si>
  <si>
    <t>1. Enter valid username.
2. Leave Password field empty.
3. Click Login button.</t>
  </si>
  <si>
    <t>- Validation message is displayed indicating Password is required.
  There were one or more problems that prevented you from logging in:
  The Password field is required.
- User is not logged into the application.</t>
  </si>
  <si>
    <t>TC-005</t>
  </si>
  <si>
    <t>Validate Missing Username and Password Validation</t>
  </si>
  <si>
    <t>Username: Empty
Password: Empty</t>
  </si>
  <si>
    <t>1. Leave Username field empty.
2. Leave Password field empty.
3. Click Login button.</t>
  </si>
  <si>
    <t>- Validation messages are displayed indicating Username and Password are required.
  There were one or more problems that prevented you from logging in:
  The Username field is required.
  The Password field is required.
- User is not logged into the application.</t>
  </si>
  <si>
    <t>TC-006</t>
  </si>
  <si>
    <t>Validate Login With Incorrect Password</t>
  </si>
  <si>
    <t>Username: Valid username
Password: Invalid password</t>
  </si>
  <si>
    <t>1. Enter valid username.
2. Enter invalid password.
3. Click Login button.</t>
  </si>
  <si>
    <t>- User is not logged into the application.
- Application displays error message indicating invalid credentials.
  There were one or more problems that prevented you from logging in: The specified username or password is incorrect.</t>
  </si>
  <si>
    <t>Passed</t>
  </si>
  <si>
    <t>TC-007</t>
  </si>
  <si>
    <t>Validate Login With Incorrect Username</t>
  </si>
  <si>
    <t>Username: Invalid username
Password: Valid password</t>
  </si>
  <si>
    <t>1. Enter invalid username.
2. Enter valid password.
3. Click Login button.</t>
  </si>
  <si>
    <t>- User is not logged into the application.
- Application should display error message indicating invalid credentials.
  There were one or more problems that prevented you from logging in: The specified username or password is incorrect.</t>
  </si>
  <si>
    <t>Failed</t>
  </si>
  <si>
    <t>BUG-004</t>
  </si>
  <si>
    <t>TC-008</t>
  </si>
  <si>
    <t>Validate Add Employee Modal Opens</t>
  </si>
  <si>
    <t>User is on Benefits Dashboard page</t>
  </si>
  <si>
    <t>1. Click Add Employee</t>
  </si>
  <si>
    <t>- Add Employee form/modal is displayed</t>
  </si>
  <si>
    <t>TC-009</t>
  </si>
  <si>
    <t>Add Employee Successfully</t>
  </si>
  <si>
    <t>Critical</t>
  </si>
  <si>
    <r>
      <rPr>
        <rFont val="Calibri"/>
        <color rgb="FF000000"/>
        <u/>
      </rPr>
      <t xml:space="preserve">Employee: Peter Parker
Dependents: 1
</t>
    </r>
    <r>
      <rPr>
        <rFont val="Calibri"/>
        <color rgb="FF434343"/>
        <u/>
      </rPr>
      <t>Payment and salary-related validations should be verified using the calculation formulas and amortization table available in the NetPay sheet.</t>
    </r>
  </si>
  <si>
    <t>1. Click Add Employee
2. Enter valid employee information
3. Click Save</t>
  </si>
  <si>
    <t>- Employee saved and calculations are correct</t>
  </si>
  <si>
    <t>FAIL</t>
  </si>
  <si>
    <t>BUG-001</t>
  </si>
  <si>
    <t>TC-010</t>
  </si>
  <si>
    <t>Cancel Add Employee Operation</t>
  </si>
  <si>
    <t>Employee: Tony Stark
Dependents: 1</t>
  </si>
  <si>
    <t>1. Click Add Employee
2. Enter employee information
3. Click Cancel button or close modal</t>
  </si>
  <si>
    <t>- Employee is not created
- Modal closes successfully
- No new employee appears in table
- Existing employee data remains unchanged</t>
  </si>
  <si>
    <t>TC-011</t>
  </si>
  <si>
    <t>Validate Empty Required Fields in Add Employee</t>
  </si>
  <si>
    <t>1. Click Add Employee
2. Leave required fields empty
3. Click Save</t>
  </si>
  <si>
    <t>- Validation messages displayed
- Employee not created</t>
  </si>
  <si>
    <t>BLOCKED</t>
  </si>
  <si>
    <t>TC-012</t>
  </si>
  <si>
    <t>Validate Negative Dependents in Add Employee</t>
  </si>
  <si>
    <t>Employee: Natasha Romanoff
Dependents: -1</t>
  </si>
  <si>
    <t>1. Click Add Employee
2. Enter test data employee information</t>
  </si>
  <si>
    <t>- Dependents validation prevents invalid input</t>
  </si>
  <si>
    <t>HOLD</t>
  </si>
  <si>
    <t>TC-013</t>
  </si>
  <si>
    <t>Validate Non-Numeric Dependents in Add Employee</t>
  </si>
  <si>
    <t>Employee: Matt Murdock
Dependents: I</t>
  </si>
  <si>
    <t>TC-014</t>
  </si>
  <si>
    <t>Validate Decimal Dependents are not allowed in Add Employee</t>
  </si>
  <si>
    <t>Employee: Peter Quill
Dependents: .99</t>
  </si>
  <si>
    <t>TC-015</t>
  </si>
  <si>
    <t>Validate Edit Employee Modal Opens</t>
  </si>
  <si>
    <t>Existing employee available in the UI</t>
  </si>
  <si>
    <t>1. Locate the employee row and click the Edit
(pencil) icon in the Actions column.</t>
  </si>
  <si>
    <t>- Employee data is shown successfully</t>
  </si>
  <si>
    <t>TC-016</t>
  </si>
  <si>
    <t>Edit Employee Name Successfully</t>
  </si>
  <si>
    <t>Employee: NameEdit Employee
Dependents: keep as it is
Consult Payment Calculation Table in NetPay sheet for Payment Calculations</t>
  </si>
  <si>
    <t>1. Locate the employee row and click the Edit
(pencil) icon in the Actions column.
2. Update the First and Last name fields using the test data
3. Click Save button</t>
  </si>
  <si>
    <t>- Employee first and last name updates successfully.
- No changes presented in Benefit Cost and Net Pay.</t>
  </si>
  <si>
    <t>TC-017</t>
  </si>
  <si>
    <t>Edit Employee Dependents Successfully</t>
  </si>
  <si>
    <t>Employee: keep as it is
Dependents: Current Value +1
Consult Payment Calculation Table in NetPay sheet for Payment Calculations</t>
  </si>
  <si>
    <t>1. Locate the employee row and click the Edit
(pencil) icon in the Actions column.
2. Update the Dependents field using the test data
3. Click Save button</t>
  </si>
  <si>
    <t>- Employee data updates successfully.
- Benefits Cost and Net Pay values are recalculated correctly based on the updated dependent count.
- Updated values are displayed correctly in the employee table.</t>
  </si>
  <si>
    <t>TC-018</t>
  </si>
  <si>
    <t>Cancel Edit Employee Changes</t>
  </si>
  <si>
    <t>Employee: Edit Employee
Dependents: Current Value +1
Consult Payment Calculation Table in NetPay sheet for Payment Calculations</t>
  </si>
  <si>
    <t>1. Locate the employee row and click the Edit (pencil) icon in the Actions column
2. Modify employee data using the test data.
3. Click Cancel button or close the modal.</t>
  </si>
  <si>
    <t>- Employee data remains unchanged.
- Benefits Cost and Net Pay values remain unchanged.
- No updates are reflected in the employee table.</t>
  </si>
  <si>
    <t>TC-019</t>
  </si>
  <si>
    <t>Edit and Validate Benefits Calculation With Zero Dependents</t>
  </si>
  <si>
    <t>Employee: Edit Employee
Dependents: 0
Consult Payment Calculation Table in NetPay sheet for Payment Calculations</t>
  </si>
  <si>
    <t>TC-020</t>
  </si>
  <si>
    <t>Validate Maximum Supported Dependents Value</t>
  </si>
  <si>
    <t>Employee: Keep current employee
Dependents: 32
Consult Payment Calculation Table in NetPay sheet for Payment Calculations</t>
  </si>
  <si>
    <t>1. Locate the employee row and click the Edit (pencil) icon in the Actions column.
2. Update the Dependents field to 32.
3. Click Save button.
4. Verify updated employee values in the table.</t>
  </si>
  <si>
    <t>- Employee data updates successfully.
- Benefits Cost and Net Pay values are recalculated correctly based on 32 dependents.
- Updated values are displayed correctly in the employee table.</t>
  </si>
  <si>
    <t>TC-021</t>
  </si>
  <si>
    <t>Validate Dependents Above Maximum Limit</t>
  </si>
  <si>
    <t>Employee: Keep current employee
Dependents: 33</t>
  </si>
  <si>
    <t>1. Locate the employee row and click the Edit (pencil) icon in the Actions column.
2. Update the Dependents field to 33.
3. Click Save button.</t>
  </si>
  <si>
    <t>- Employee update is rejected.
- UI should display validation or error message indicating the maximum supported dependents value was exceeded.
- Employee data remains unchanged.</t>
  </si>
  <si>
    <t>BUG-002</t>
  </si>
  <si>
    <t>TC-022</t>
  </si>
  <si>
    <t>Validate Delete Employee Action</t>
  </si>
  <si>
    <t>Employee: Existing employee row</t>
  </si>
  <si>
    <t>1. Locate the employee row.
2. Click the Delete (X) icon in the Actions column.
3. Modal for delete is displayed
3. Click in Delete Button</t>
  </si>
  <si>
    <t>- Employee is deleted successfully.
- Employee row is removed from the table.
- Employee data is no longer displayed in the UI.</t>
  </si>
  <si>
    <t>TC-023</t>
  </si>
  <si>
    <t>Cancel Delete Employee Action</t>
  </si>
  <si>
    <t>1. Locate the employee row.
2. Click the Delete (X) icon in the Actions column.
3. Modal for delete is displayed
3. Click in Cancel Button</t>
  </si>
  <si>
    <t>- Employee is not delete
- Records related to that employees are not removed</t>
  </si>
  <si>
    <t>Notes:
Evidence not attached to avoid a hugefile</t>
  </si>
  <si>
    <t>ID</t>
  </si>
  <si>
    <t>Type</t>
  </si>
  <si>
    <t>Test Case</t>
  </si>
  <si>
    <t>Automated</t>
  </si>
  <si>
    <t>Evidence Description</t>
  </si>
  <si>
    <t>TC-API-001</t>
  </si>
  <si>
    <t>Manual/API</t>
  </si>
  <si>
    <t>Login with valid credentials</t>
  </si>
  <si>
    <t>NO</t>
  </si>
  <si>
    <t>Passed (Manual)</t>
  </si>
  <si>
    <t>Request URL: https://wmxrwq14uc.execute-api.us-east-1.amazonaws.com/Prod/api/employees
Request Method: GET
Status Code: 200 OK
Remote Address: 18.238.171.36:443
Referrer Policy: strict-origin-when-cross-origin</t>
  </si>
  <si>
    <t>TC-API-002</t>
  </si>
  <si>
    <t>Login with invalid username</t>
  </si>
  <si>
    <t>Request URL: https://wmxrwq14uc.execute-api.us-east-1.amazonaws.com/Prod/Account/LogIn
Request Method: POST
Status Code: 405 Method Not Allowed
Remote Address: 18.238.171.36:443
Referrer Policy: strict-origin-when-cross-origin</t>
  </si>
  <si>
    <t>TC-API-003</t>
  </si>
  <si>
    <t>Login with invalid password</t>
  </si>
  <si>
    <t>No</t>
  </si>
  <si>
    <t>GET https://wmxrwq14uc.execute-api.us-east-1.amazonaws.com/favicon.ico 403 (Forbidden)</t>
  </si>
  <si>
    <t>TC-API-004</t>
  </si>
  <si>
    <t>Logout invalidates active user session</t>
  </si>
  <si>
    <t>Request URL: https://wmxrwq14uc.execute-api.us-east-1.amazonaws.com/Prod/Account/LogOut
Request Method: GET
Status Code: 302 Found
Remote Address: 18.238.171.36:443
Referrer Policy: strict-origin-when-cross-origin</t>
  </si>
  <si>
    <t>TC-API-005</t>
  </si>
  <si>
    <t>API</t>
  </si>
  <si>
    <t>Get employees list returns 200 OK</t>
  </si>
  <si>
    <t>Yes</t>
  </si>
  <si>
    <t>Playwright Exe</t>
  </si>
  <si>
    <t>TC-API-007</t>
  </si>
  <si>
    <t>Create employee with valid payload</t>
  </si>
  <si>
    <t>TC-API-013</t>
  </si>
  <si>
    <t>Update employee with valid payload</t>
  </si>
  <si>
    <t>TC-API-016</t>
  </si>
  <si>
    <t>Delete existing employee</t>
  </si>
  <si>
    <t>TC-API-017</t>
  </si>
  <si>
    <t>Delete employee with invalid employee ID</t>
  </si>
  <si>
    <t>Received: 405</t>
  </si>
  <si>
    <t>TC-API-018</t>
  </si>
  <si>
    <t>Employee record persists after update</t>
  </si>
  <si>
    <t>Pending</t>
  </si>
  <si>
    <t>TC-API-019</t>
  </si>
  <si>
    <t>Deleted employee is removed from employee list</t>
  </si>
  <si>
    <t>Bug ID</t>
  </si>
  <si>
    <t>Severity</t>
  </si>
  <si>
    <t>Prerequisites</t>
  </si>
  <si>
    <t>Expected</t>
  </si>
  <si>
    <t>Actual</t>
  </si>
  <si>
    <t>ScreenShot</t>
  </si>
  <si>
    <t>Notes</t>
  </si>
  <si>
    <t>Unable to add new employee from UI</t>
  </si>
  <si>
    <t>User has access to the application.</t>
  </si>
  <si>
    <t>1. Open application
2. Click Add Employee
3. Enter valid employee information
4. Click Save</t>
  </si>
  <si>
    <t>Employee should be added successfully and displayed in the employee table.</t>
  </si>
  <si>
    <t>- Employee is not added.
- Save action fails / no response occurs.</t>
  </si>
  <si>
    <t>- Browser console screenshot attached
- POST /api/employees returns 401 Unauthorized</t>
  </si>
  <si>
    <t>This issue is not reproducible in playwright because it is clicking in the correct button. So I might guess that other botton is overlaping in th eUI.</t>
  </si>
  <si>
    <t>UI does not display validation error when dependents exceed maximum allowed value</t>
  </si>
  <si>
    <t>1. Edit employee.
2. Set Dependents value to 33.
3. Click Save.</t>
  </si>
  <si>
    <t>UI should display validation message indicating maximum supported dependents value was exceeded.</t>
  </si>
  <si>
    <t>- No validation or error message is displayed in the UI.
- Only browser console shows 400 Bad Request response.</t>
  </si>
  <si>
    <t>- Browser console screenshot showing PUT request returning 400 Bad Request.</t>
  </si>
  <si>
    <t>Swagger API documentation specifies a maximum supported dependents value of 32.</t>
  </si>
  <si>
    <t>BUG-003</t>
  </si>
  <si>
    <t>Application favicon returns 403 Forbidden response</t>
  </si>
  <si>
    <t>Low</t>
  </si>
  <si>
    <t>User has access to the application URL</t>
  </si>
  <si>
    <t>1. Open the application URL.
2. Open browser developer tools.
3. Navigate to the Console or Network tab.
4. Observe favicon request during page load.</t>
  </si>
  <si>
    <t>Application favicon loads successfully without browser console errors.</t>
  </si>
  <si>
    <t>- Browser console displays GET /favicon.ico returning 403 Forbidden response during initial page load.</t>
  </si>
  <si>
    <t>- Browser console screenshot showing favicon.ico 403 response.</t>
  </si>
  <si>
    <t>Invalid username login attempt returns 405 response instead of standard invalid credentials message</t>
  </si>
  <si>
    <t>1. Enter an invalid username.
2. Enter a valid password.
3. Click Login button.
4. Observe browser behavior and developer console.</t>
  </si>
  <si>
    <t>User is not logged into the application.
Application displays the standard invalid credentials message:
'The specified username or password is incorrect.'</t>
  </si>
  <si>
    <t>- Application does not display the standard invalid credentials message.
- Browser developer console displays POST request returning 405 Method Not Allowed response.</t>
  </si>
  <si>
    <t>Browser console screenshot showing POST /Account/Login request returning 405 Method Not Allowed response during invalid username login attempt.</t>
  </si>
  <si>
    <t>BUG-005</t>
  </si>
  <si>
    <t>Edit Employee flow reuses "Add Employee" modal title</t>
  </si>
  <si>
    <t>User is logged into the application and at least one employee record exists.</t>
  </si>
  <si>
    <t>1. Open the application.
2. Select an existing employee.
3. Click the Edit icon.
4. Observe modal title.</t>
  </si>
  <si>
    <t>Edit Employee modal should display a title indicating edit functionality.
"Edit Employee"</t>
  </si>
  <si>
    <t>- Application reuses the "Add Employee" modal title during Edit Employee flow.</t>
  </si>
  <si>
    <t>Edit Employee workflow reusing "Add Employee" modal title during employee update operation.</t>
  </si>
  <si>
    <t>BUG-006</t>
  </si>
  <si>
    <t>Login page dashboard link allows unauthorized navigation to Benefits Dashboard</t>
  </si>
  <si>
    <t>User is on Login page and is not authenticated.</t>
  </si>
  <si>
    <t>1. Open the application Login page.
2. Click the "Paylocity Benefits Dashboard" link displayed in the navigation bar.
3. Observe application behavior.</t>
  </si>
  <si>
    <t>Application should prevent unauthorized access to the Benefits Dashboard and redirect the user to Login page or display an authorization message.</t>
  </si>
  <si>
    <t>- Application redirects the user to the Benefits Dashboard page despite the user not being authenticated.
- Browser developer console shows GET /api/employees request returning 401 Unauthorized response.</t>
  </si>
  <si>
    <t>Browser console screenshot attached showing unauthorized GET /api/employees request after accessing dashboard page from Login screen without authentication.</t>
  </si>
  <si>
    <t>BUG-007</t>
  </si>
  <si>
    <t>Employee annual salary changes unexpectedly after updating employee information through API</t>
  </si>
  <si>
    <t>User is authenticated and an existing employee record is available through API.</t>
  </si>
  <si>
    <t>1. Authenticate into the application.
2. Create a new employee record using POST /api/Employees.
3. Verify employee annual salary is initially set to expected default value.
4. Execute PUT /api/Employees request updating only:
   - firstName
   - lastName
   - dependants
5. Observe API response payload after update operation.2. Create a valid employee record using POST /api/Employees.
3. Copy the generated employee ID.
4. Execute PUT /api/Employees/{id} request using valid payload and existing employee ID.
5. Observe API response.</t>
  </si>
  <si>
    <t>Employee annual salary value should remain unchanged after updating employee personal information and dependants.</t>
  </si>
  <si>
    <t>Employee annual salary value is automatically updated to 55000 after PUT update request execution, despite salary not being intentionally modified during update operation.
Related calculated values such as gross and net are also recalculated unexpectedly.</t>
  </si>
  <si>
    <t>Playwright API automation execution shows PUT /api/Employees request returning 200 OK response while modifying employee annual salary unexpectedly.</t>
  </si>
  <si>
    <t>Request Method: PUT
Employee ID: e4e46031-8a10-42e4-8096-d29737b3cdc1
PUT Status: 200
{"partitionKey":"TestUser968","sortKey":"e4e46031-8a10-42e4-8096-d29737b3cdc1","username":"TestUser968","id":"e4e46031-8a10-42e4-8096-d29737b3cdc1","firstName":"UpdatedEduardoAPI","lastName":"UpdatedRuizAPI","dependants":17,"salary":55000,"gross":2115.3845,"benefitsCost":365.38464,"net":1749.9999}
updatedEmployee: {
  partitionKey: 'TestUser968',
  sortKey: 'e4e46031-8a10-42e4-8096-d29737b3cdc1',
  username: 'TestUser968',
  id: 'e4e46031-8a10-42e4-8096-d29737b3cdc1',
  firstName: 'UpdatedEduardoAPI',
  lastName: 'UpdatedRuizAPI',
  dependants: 17,
  salary: 55000,
  gross: 2115.3845,
  benefitsCost: 365.38464,
  net: 1749.9999
}
{
  "id": "&lt;valid_employee_id&gt;",
  "firstName": "UpdatedEduardoAPI",
  "lastName": "UpdatedRuizAPI",
  "dependants": 21
}
API returned 405 Method Not Allowed response despite valid authenticated session and existing employee ID.</t>
  </si>
  <si>
    <t>BUG-008</t>
  </si>
  <si>
    <t>Observation</t>
  </si>
  <si>
    <t>Recommendation</t>
  </si>
  <si>
    <t>Evidence</t>
  </si>
  <si>
    <t>ENH-001</t>
  </si>
  <si>
    <t>UX Enhancement</t>
  </si>
  <si>
    <t>Add/Edit/Delete Employee modal closes when clicking outside modal area, potentially causing accidental data loss.</t>
  </si>
  <si>
    <t>Prevent accidental modal dismissal or display confirmation dialog when unsaved data exists.</t>
  </si>
  <si>
    <t>ENH-002</t>
  </si>
  <si>
    <t>Application does not display a session expiration warning after receiving a 401 Unauthorized response from the API, causing actions to fail silently.</t>
  </si>
  <si>
    <t>Display a clear “Session Expired” message and redirect the user to the login page when authentication expires.</t>
  </si>
  <si>
    <t>ENH-003</t>
  </si>
  <si>
    <t>Add/Edit/Delete Employee modal does not provide explicit cancel or close action.</t>
  </si>
  <si>
    <t>Add dedicated Cancel button and/or Close icon to Add/Edit Employee modal to allow users to exit the workflow safely and intentionally.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</si>
</sst>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4">
    <font>
      <sz val="11.0"/>
      <color theme="1"/>
      <name val="Calibri"/>
      <scheme val="minor"/>
    </font>
    <font>
      <b/>
      <color theme="1"/>
      <name val="Calibri"/>
      <scheme val="minor"/>
    </font>
    <font>
      <color theme="1"/>
      <name val="Calibri"/>
      <scheme val="minor"/>
    </font>
    <font>
      <u/>
      <color rgb="FF434343"/>
      <name val="Calibri"/>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right" readingOrder="0" shrinkToFit="0" vertical="center" wrapText="0"/>
    </xf>
    <xf borderId="0" fillId="0" fontId="1" numFmtId="0" xfId="0" applyAlignment="1" applyFont="1">
      <alignment horizontal="righ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4" xfId="0" applyAlignment="1" applyFont="1" applyNumberFormat="1">
      <alignment horizontal="right" readingOrder="0" shrinkToFit="0" vertical="center" wrapText="0"/>
    </xf>
    <xf borderId="0" fillId="0" fontId="2"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0"/>
    </xf>
    <xf borderId="0" fillId="2" fontId="1" numFmtId="0" xfId="0" applyAlignment="1" applyFill="1" applyFont="1">
      <alignment readingOrder="0"/>
    </xf>
    <xf borderId="0" fillId="0" fontId="2"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Payment-style">
      <tableStyleElement dxfId="1" type="headerRow"/>
      <tableStyleElement dxfId="2" type="firstRowStripe"/>
      <tableStyleElement dxfId="3" type="secondRowStripe"/>
      <tableStyleElement dxfId="4" size="0" type="wholeTable"/>
    </tableStyle>
    <tableStyle count="4" pivot="0" name="Payment-style 2">
      <tableStyleElement dxfId="1" type="headerRow"/>
      <tableStyleElement dxfId="2" type="firstRowStripe"/>
      <tableStyleElement dxfId="3" type="secondRowStripe"/>
      <tableStyleElement dxfId="4" size="0" type="wholeTable"/>
    </tableStyle>
    <tableStyle count="4" pivot="0" name="Payment-style 3">
      <tableStyleElement dxfId="1" type="headerRow"/>
      <tableStyleElement dxfId="2" type="firstRowStripe"/>
      <tableStyleElement dxfId="3" type="secondRowStripe"/>
      <tableStyleElement dxfId="4" size="0" type="wholeTable"/>
    </tableStyle>
    <tableStyle count="4" pivot="0" name="Manual Test Matrix-style">
      <tableStyleElement dxfId="1" type="headerRow"/>
      <tableStyleElement dxfId="2" type="firstRowStripe"/>
      <tableStyleElement dxfId="3" type="secondRowStripe"/>
      <tableStyleElement dxfId="4" size="0" type="wholeTable"/>
    </tableStyle>
    <tableStyle count="4" pivot="0" name="API Matrix-style">
      <tableStyleElement dxfId="1" type="headerRow"/>
      <tableStyleElement dxfId="2" type="firstRowStripe"/>
      <tableStyleElement dxfId="3" type="secondRowStripe"/>
      <tableStyleElement dxfId="4" size="0" type="wholeTable"/>
    </tableStyle>
    <tableStyle count="4" pivot="0" name="Bug Reports-style">
      <tableStyleElement dxfId="1" type="headerRow"/>
      <tableStyleElement dxfId="2" type="firstRowStripe"/>
      <tableStyleElement dxfId="3" type="secondRowStripe"/>
      <tableStyleElement dxfId="4" size="0" type="wholeTable"/>
    </tableStyle>
    <tableStyle count="4" pivot="0" name="Observations  Enhancemen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9.png"/><Relationship Id="rId6" Type="http://schemas.openxmlformats.org/officeDocument/2006/relationships/image" Target="../media/image5.png"/><Relationship Id="rId7"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2857500</xdr:colOff>
      <xdr:row>0</xdr:row>
      <xdr:rowOff>190500</xdr:rowOff>
    </xdr:from>
    <xdr:ext cx="1962150" cy="638175"/>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2857500</xdr:colOff>
      <xdr:row>1</xdr:row>
      <xdr:rowOff>638175</xdr:rowOff>
    </xdr:from>
    <xdr:ext cx="2571750" cy="8477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2857500</xdr:colOff>
      <xdr:row>3</xdr:row>
      <xdr:rowOff>38100</xdr:rowOff>
    </xdr:from>
    <xdr:ext cx="4781550" cy="4286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2857500</xdr:colOff>
      <xdr:row>3</xdr:row>
      <xdr:rowOff>666750</xdr:rowOff>
    </xdr:from>
    <xdr:ext cx="3076575" cy="847725"/>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2857500</xdr:colOff>
      <xdr:row>4</xdr:row>
      <xdr:rowOff>819150</xdr:rowOff>
    </xdr:from>
    <xdr:ext cx="2219325" cy="990600"/>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2867025</xdr:colOff>
      <xdr:row>5</xdr:row>
      <xdr:rowOff>1104900</xdr:rowOff>
    </xdr:from>
    <xdr:ext cx="2924175" cy="685800"/>
    <xdr:pic>
      <xdr:nvPicPr>
        <xdr:cNvPr id="0" name="image5.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2857500</xdr:colOff>
      <xdr:row>7</xdr:row>
      <xdr:rowOff>19050</xdr:rowOff>
    </xdr:from>
    <xdr:ext cx="4114800" cy="990600"/>
    <xdr:pic>
      <xdr:nvPicPr>
        <xdr:cNvPr id="0" name="image7.png" title="Imagen"/>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1</xdr:row>
      <xdr:rowOff>9525</xdr:rowOff>
    </xdr:from>
    <xdr:ext cx="1790700" cy="5810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238125</xdr:colOff>
      <xdr:row>2</xdr:row>
      <xdr:rowOff>66675</xdr:rowOff>
    </xdr:from>
    <xdr:ext cx="1676400" cy="1114425"/>
    <xdr:pic>
      <xdr:nvPicPr>
        <xdr:cNvPr id="0" name="image8.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E38" displayName="Payment_Calculation" name="Payment_Calculation" id="1">
  <tableColumns count="5">
    <tableColumn name="Dependents" id="1"/>
    <tableColumn name="Salary" id="2"/>
    <tableColumn name="Gross Pay" id="3"/>
    <tableColumn name="Benefits Cost " id="4"/>
    <tableColumn name="Net Pay" id="5"/>
  </tableColumns>
  <tableStyleInfo name="Payment-style" showColumnStripes="0" showFirstColumn="1" showLastColumn="1" showRowStripes="1"/>
</table>
</file>

<file path=xl/tables/table2.xml><?xml version="1.0" encoding="utf-8"?>
<table xmlns="http://schemas.openxmlformats.org/spreadsheetml/2006/main" ref="G5:H6" displayName="Formulas" name="Formulas" id="2">
  <tableColumns count="2">
    <tableColumn name="Benefit Costs" id="1"/>
    <tableColumn name="Net Payment" id="2"/>
  </tableColumns>
  <tableStyleInfo name="Payment-style 2" showColumnStripes="0" showFirstColumn="1" showLastColumn="1" showRowStripes="1"/>
</table>
</file>

<file path=xl/tables/table3.xml><?xml version="1.0" encoding="utf-8"?>
<table xmlns="http://schemas.openxmlformats.org/spreadsheetml/2006/main" ref="G9:G10" displayName="About_this_Page" name="About_this_Page" id="3">
  <tableColumns count="1">
    <tableColumn name="Notes:" id="1"/>
  </tableColumns>
  <tableStyleInfo name="Payment-style 3" showColumnStripes="0" showFirstColumn="1" showLastColumn="1" showRowStripes="1"/>
</table>
</file>

<file path=xl/tables/table4.xml><?xml version="1.0" encoding="utf-8"?>
<table xmlns="http://schemas.openxmlformats.org/spreadsheetml/2006/main" ref="A1:I24" displayName="Manual" name="Manual" id="4">
  <tableColumns count="9">
    <tableColumn name="Test Case ID" id="1"/>
    <tableColumn name="Title" id="2"/>
    <tableColumn name="Priority" id="3"/>
    <tableColumn name="Preconditions" id="4"/>
    <tableColumn name="Test Data" id="5"/>
    <tableColumn name="Steps" id="6"/>
    <tableColumn name="Expected Results" id="7"/>
    <tableColumn name="Status" id="8"/>
    <tableColumn name="Related BUG" id="9"/>
  </tableColumns>
  <tableStyleInfo name="Manual Test Matrix-style" showColumnStripes="0" showFirstColumn="1" showLastColumn="1" showRowStripes="1"/>
</table>
</file>

<file path=xl/tables/table5.xml><?xml version="1.0" encoding="utf-8"?>
<table xmlns="http://schemas.openxmlformats.org/spreadsheetml/2006/main" ref="A1:G12" displayName="Tabla_1" name="Tabla_1" id="5">
  <tableColumns count="7">
    <tableColumn name="ID" id="1"/>
    <tableColumn name="Type" id="2"/>
    <tableColumn name="Test Case" id="3"/>
    <tableColumn name="Priority" id="4"/>
    <tableColumn name="Automated" id="5"/>
    <tableColumn name="Status" id="6"/>
    <tableColumn name="Evidence Description" id="7"/>
  </tableColumns>
  <tableStyleInfo name="API Matrix-style" showColumnStripes="0" showFirstColumn="1" showLastColumn="1" showRowStripes="1"/>
</table>
</file>

<file path=xl/tables/table6.xml><?xml version="1.0" encoding="utf-8"?>
<table xmlns="http://schemas.openxmlformats.org/spreadsheetml/2006/main" ref="A1:K9" displayName="UI_Bugs" name="UI_Bugs" id="6">
  <tableColumns count="11">
    <tableColumn name="Bug ID" id="1"/>
    <tableColumn name="Title" id="2"/>
    <tableColumn name="Severity" id="3"/>
    <tableColumn name="Priority" id="4"/>
    <tableColumn name="Prerequisites" id="5"/>
    <tableColumn name="Steps" id="6"/>
    <tableColumn name="Expected" id="7"/>
    <tableColumn name="Actual" id="8"/>
    <tableColumn name="Evidence Description" id="9"/>
    <tableColumn name="ScreenShot" id="10"/>
    <tableColumn name="Notes" id="11"/>
  </tableColumns>
  <tableStyleInfo name="Bug Reports-style" showColumnStripes="0" showFirstColumn="1" showLastColumn="1" showRowStripes="1"/>
</table>
</file>

<file path=xl/tables/table7.xml><?xml version="1.0" encoding="utf-8"?>
<table xmlns="http://schemas.openxmlformats.org/spreadsheetml/2006/main" ref="A1:E4" displayName="Enhancements" name="Enhancements" id="7">
  <tableColumns count="5">
    <tableColumn name="ID" id="1"/>
    <tableColumn name="Type" id="2"/>
    <tableColumn name="Observation" id="3"/>
    <tableColumn name="Recommendation" id="4"/>
    <tableColumn name="Evidence" id="5"/>
  </tableColumns>
  <tableStyleInfo name="Observations  Enhance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57"/>
    <col customWidth="1" min="2" max="2" width="13.0"/>
    <col customWidth="1" min="4" max="4" width="23.14"/>
    <col customWidth="1" min="5" max="5" width="13.57"/>
    <col customWidth="1" min="7" max="7" width="35.43"/>
    <col customWidth="1" min="8" max="8" width="22.57"/>
    <col customWidth="1" min="9" max="9" width="18.14"/>
  </cols>
  <sheetData>
    <row r="3" ht="22.5" customHeight="1">
      <c r="A3" s="1" t="s">
        <v>0</v>
      </c>
      <c r="B3" s="2" t="s">
        <v>1</v>
      </c>
      <c r="C3" s="2" t="s">
        <v>2</v>
      </c>
      <c r="D3" s="3" t="s">
        <v>3</v>
      </c>
      <c r="E3" s="3" t="s">
        <v>4</v>
      </c>
    </row>
    <row r="4" ht="22.5" customHeight="1">
      <c r="A4" s="4"/>
      <c r="B4" s="5"/>
      <c r="C4" s="5"/>
      <c r="D4" s="5">
        <f t="shared" ref="D4:D38" si="1">(1000+(A4* 500))/26</f>
        <v>38.46153846</v>
      </c>
      <c r="E4" s="6">
        <f t="shared" ref="E4:E38" si="2">2000-D4</f>
        <v>1961.538462</v>
      </c>
      <c r="G4" s="7"/>
      <c r="H4" s="7"/>
    </row>
    <row r="5" ht="22.5" customHeight="1">
      <c r="A5" s="4">
        <v>0.0</v>
      </c>
      <c r="B5" s="5">
        <v>52000.0</v>
      </c>
      <c r="C5" s="5">
        <v>2000.0</v>
      </c>
      <c r="D5" s="5">
        <f t="shared" si="1"/>
        <v>38.46153846</v>
      </c>
      <c r="E5" s="6">
        <f t="shared" si="2"/>
        <v>1961.538462</v>
      </c>
      <c r="G5" s="8" t="s">
        <v>5</v>
      </c>
      <c r="H5" s="8" t="s">
        <v>6</v>
      </c>
    </row>
    <row r="6" ht="22.5" customHeight="1">
      <c r="A6" s="4">
        <v>1.0</v>
      </c>
      <c r="B6" s="5">
        <v>52000.0</v>
      </c>
      <c r="C6" s="5">
        <v>2000.0</v>
      </c>
      <c r="D6" s="5">
        <f t="shared" si="1"/>
        <v>57.69230769</v>
      </c>
      <c r="E6" s="6">
        <f t="shared" si="2"/>
        <v>1942.307692</v>
      </c>
      <c r="G6" s="4" t="s">
        <v>7</v>
      </c>
      <c r="H6" s="4" t="s">
        <v>8</v>
      </c>
    </row>
    <row r="7" ht="22.5" customHeight="1">
      <c r="A7" s="4">
        <v>2.0</v>
      </c>
      <c r="B7" s="5">
        <v>52000.0</v>
      </c>
      <c r="C7" s="5">
        <v>2000.0</v>
      </c>
      <c r="D7" s="5">
        <f t="shared" si="1"/>
        <v>76.92307692</v>
      </c>
      <c r="E7" s="6">
        <f t="shared" si="2"/>
        <v>1923.076923</v>
      </c>
    </row>
    <row r="8" ht="22.5" customHeight="1">
      <c r="A8" s="4">
        <v>3.0</v>
      </c>
      <c r="B8" s="5">
        <v>52000.0</v>
      </c>
      <c r="C8" s="5">
        <v>2000.0</v>
      </c>
      <c r="D8" s="5">
        <f t="shared" si="1"/>
        <v>96.15384615</v>
      </c>
      <c r="E8" s="6">
        <f t="shared" si="2"/>
        <v>1903.846154</v>
      </c>
    </row>
    <row r="9" ht="22.5" customHeight="1">
      <c r="A9" s="4">
        <v>4.0</v>
      </c>
      <c r="B9" s="5">
        <v>52000.0</v>
      </c>
      <c r="C9" s="5">
        <v>2000.0</v>
      </c>
      <c r="D9" s="5">
        <f t="shared" si="1"/>
        <v>115.3846154</v>
      </c>
      <c r="E9" s="6">
        <f t="shared" si="2"/>
        <v>1884.615385</v>
      </c>
      <c r="G9" s="8" t="s">
        <v>9</v>
      </c>
    </row>
    <row r="10" ht="22.5" customHeight="1">
      <c r="A10" s="4">
        <v>5.0</v>
      </c>
      <c r="B10" s="5">
        <v>52000.0</v>
      </c>
      <c r="C10" s="5">
        <v>2000.0</v>
      </c>
      <c r="D10" s="5">
        <f t="shared" si="1"/>
        <v>134.6153846</v>
      </c>
      <c r="E10" s="6">
        <f t="shared" si="2"/>
        <v>1865.384615</v>
      </c>
      <c r="G10" s="9" t="s">
        <v>10</v>
      </c>
    </row>
    <row r="11" ht="22.5" customHeight="1">
      <c r="A11" s="4">
        <v>6.0</v>
      </c>
      <c r="B11" s="5">
        <v>52000.0</v>
      </c>
      <c r="C11" s="5">
        <v>2000.0</v>
      </c>
      <c r="D11" s="5">
        <f t="shared" si="1"/>
        <v>153.8461538</v>
      </c>
      <c r="E11" s="6">
        <f t="shared" si="2"/>
        <v>1846.153846</v>
      </c>
    </row>
    <row r="12" ht="22.5" customHeight="1">
      <c r="A12" s="4">
        <v>7.0</v>
      </c>
      <c r="B12" s="5">
        <v>52000.0</v>
      </c>
      <c r="C12" s="5">
        <v>2000.0</v>
      </c>
      <c r="D12" s="5">
        <f t="shared" si="1"/>
        <v>173.0769231</v>
      </c>
      <c r="E12" s="6">
        <f t="shared" si="2"/>
        <v>1826.923077</v>
      </c>
    </row>
    <row r="13" ht="22.5" customHeight="1">
      <c r="A13" s="4">
        <v>8.0</v>
      </c>
      <c r="B13" s="5">
        <v>52000.0</v>
      </c>
      <c r="C13" s="5">
        <v>2000.0</v>
      </c>
      <c r="D13" s="5">
        <f t="shared" si="1"/>
        <v>192.3076923</v>
      </c>
      <c r="E13" s="6">
        <f t="shared" si="2"/>
        <v>1807.692308</v>
      </c>
    </row>
    <row r="14" ht="22.5" customHeight="1">
      <c r="A14" s="4">
        <v>9.0</v>
      </c>
      <c r="B14" s="5">
        <v>52000.0</v>
      </c>
      <c r="C14" s="5">
        <v>2000.0</v>
      </c>
      <c r="D14" s="5">
        <f t="shared" si="1"/>
        <v>211.5384615</v>
      </c>
      <c r="E14" s="6">
        <f t="shared" si="2"/>
        <v>1788.461538</v>
      </c>
    </row>
    <row r="15" ht="22.5" customHeight="1">
      <c r="A15" s="4">
        <v>10.0</v>
      </c>
      <c r="B15" s="5">
        <v>52000.0</v>
      </c>
      <c r="C15" s="5">
        <v>2000.0</v>
      </c>
      <c r="D15" s="5">
        <f t="shared" si="1"/>
        <v>230.7692308</v>
      </c>
      <c r="E15" s="6">
        <f t="shared" si="2"/>
        <v>1769.230769</v>
      </c>
    </row>
    <row r="16" ht="22.5" customHeight="1">
      <c r="A16" s="4">
        <v>11.0</v>
      </c>
      <c r="B16" s="5">
        <v>52000.0</v>
      </c>
      <c r="C16" s="5">
        <v>2000.0</v>
      </c>
      <c r="D16" s="5">
        <f t="shared" si="1"/>
        <v>250</v>
      </c>
      <c r="E16" s="6">
        <f t="shared" si="2"/>
        <v>1750</v>
      </c>
    </row>
    <row r="17" ht="22.5" customHeight="1">
      <c r="A17" s="4">
        <v>12.0</v>
      </c>
      <c r="B17" s="5">
        <v>52000.0</v>
      </c>
      <c r="C17" s="5">
        <v>2000.0</v>
      </c>
      <c r="D17" s="5">
        <f t="shared" si="1"/>
        <v>269.2307692</v>
      </c>
      <c r="E17" s="6">
        <f t="shared" si="2"/>
        <v>1730.769231</v>
      </c>
    </row>
    <row r="18" ht="22.5" customHeight="1">
      <c r="A18" s="4">
        <v>13.0</v>
      </c>
      <c r="B18" s="5">
        <v>52000.0</v>
      </c>
      <c r="C18" s="5">
        <v>2000.0</v>
      </c>
      <c r="D18" s="5">
        <f t="shared" si="1"/>
        <v>288.4615385</v>
      </c>
      <c r="E18" s="6">
        <f t="shared" si="2"/>
        <v>1711.538462</v>
      </c>
    </row>
    <row r="19" ht="22.5" customHeight="1">
      <c r="A19" s="4">
        <v>14.0</v>
      </c>
      <c r="B19" s="5">
        <v>52000.0</v>
      </c>
      <c r="C19" s="5">
        <v>2000.0</v>
      </c>
      <c r="D19" s="5">
        <f t="shared" si="1"/>
        <v>307.6923077</v>
      </c>
      <c r="E19" s="6">
        <f t="shared" si="2"/>
        <v>1692.307692</v>
      </c>
    </row>
    <row r="20" ht="22.5" customHeight="1">
      <c r="A20" s="4">
        <v>15.0</v>
      </c>
      <c r="B20" s="5">
        <v>52000.0</v>
      </c>
      <c r="C20" s="5">
        <v>2000.0</v>
      </c>
      <c r="D20" s="5">
        <f t="shared" si="1"/>
        <v>326.9230769</v>
      </c>
      <c r="E20" s="6">
        <f t="shared" si="2"/>
        <v>1673.076923</v>
      </c>
    </row>
    <row r="21" ht="22.5" customHeight="1">
      <c r="A21" s="4">
        <v>16.0</v>
      </c>
      <c r="B21" s="5">
        <v>52000.0</v>
      </c>
      <c r="C21" s="5">
        <v>2000.0</v>
      </c>
      <c r="D21" s="5">
        <f t="shared" si="1"/>
        <v>346.1538462</v>
      </c>
      <c r="E21" s="6">
        <f t="shared" si="2"/>
        <v>1653.846154</v>
      </c>
    </row>
    <row r="22" ht="22.5" customHeight="1">
      <c r="A22" s="4">
        <v>17.0</v>
      </c>
      <c r="B22" s="5">
        <v>52000.0</v>
      </c>
      <c r="C22" s="5">
        <v>2000.0</v>
      </c>
      <c r="D22" s="5">
        <f t="shared" si="1"/>
        <v>365.3846154</v>
      </c>
      <c r="E22" s="6">
        <f t="shared" si="2"/>
        <v>1634.615385</v>
      </c>
    </row>
    <row r="23" ht="22.5" customHeight="1">
      <c r="A23" s="4">
        <v>18.0</v>
      </c>
      <c r="B23" s="5">
        <v>52000.0</v>
      </c>
      <c r="C23" s="5">
        <v>2000.0</v>
      </c>
      <c r="D23" s="5">
        <f t="shared" si="1"/>
        <v>384.6153846</v>
      </c>
      <c r="E23" s="6">
        <f t="shared" si="2"/>
        <v>1615.384615</v>
      </c>
    </row>
    <row r="24" ht="22.5" customHeight="1">
      <c r="A24" s="4">
        <v>19.0</v>
      </c>
      <c r="B24" s="5">
        <v>52000.0</v>
      </c>
      <c r="C24" s="5">
        <v>2000.0</v>
      </c>
      <c r="D24" s="5">
        <f t="shared" si="1"/>
        <v>403.8461538</v>
      </c>
      <c r="E24" s="6">
        <f t="shared" si="2"/>
        <v>1596.153846</v>
      </c>
    </row>
    <row r="25" ht="22.5" customHeight="1">
      <c r="A25" s="4">
        <v>20.0</v>
      </c>
      <c r="B25" s="5">
        <v>52000.0</v>
      </c>
      <c r="C25" s="5">
        <v>2000.0</v>
      </c>
      <c r="D25" s="5">
        <f t="shared" si="1"/>
        <v>423.0769231</v>
      </c>
      <c r="E25" s="6">
        <f t="shared" si="2"/>
        <v>1576.923077</v>
      </c>
    </row>
    <row r="26" ht="22.5" customHeight="1">
      <c r="A26" s="4">
        <v>21.0</v>
      </c>
      <c r="B26" s="5">
        <v>52000.0</v>
      </c>
      <c r="C26" s="5">
        <v>2000.0</v>
      </c>
      <c r="D26" s="5">
        <f t="shared" si="1"/>
        <v>442.3076923</v>
      </c>
      <c r="E26" s="6">
        <f t="shared" si="2"/>
        <v>1557.692308</v>
      </c>
    </row>
    <row r="27" ht="22.5" customHeight="1">
      <c r="A27" s="4">
        <v>22.0</v>
      </c>
      <c r="B27" s="5">
        <v>52000.0</v>
      </c>
      <c r="C27" s="5">
        <v>2000.0</v>
      </c>
      <c r="D27" s="5">
        <f t="shared" si="1"/>
        <v>461.5384615</v>
      </c>
      <c r="E27" s="6">
        <f t="shared" si="2"/>
        <v>1538.461538</v>
      </c>
    </row>
    <row r="28" ht="22.5" customHeight="1">
      <c r="A28" s="4">
        <v>23.0</v>
      </c>
      <c r="B28" s="5">
        <v>52000.0</v>
      </c>
      <c r="C28" s="5">
        <v>2000.0</v>
      </c>
      <c r="D28" s="5">
        <f t="shared" si="1"/>
        <v>480.7692308</v>
      </c>
      <c r="E28" s="6">
        <f t="shared" si="2"/>
        <v>1519.230769</v>
      </c>
    </row>
    <row r="29" ht="22.5" customHeight="1">
      <c r="A29" s="4">
        <v>24.0</v>
      </c>
      <c r="B29" s="5">
        <v>52000.0</v>
      </c>
      <c r="C29" s="5">
        <v>2000.0</v>
      </c>
      <c r="D29" s="5">
        <f t="shared" si="1"/>
        <v>500</v>
      </c>
      <c r="E29" s="6">
        <f t="shared" si="2"/>
        <v>1500</v>
      </c>
    </row>
    <row r="30" ht="22.5" customHeight="1">
      <c r="A30" s="4">
        <v>25.0</v>
      </c>
      <c r="B30" s="5">
        <v>52000.0</v>
      </c>
      <c r="C30" s="5">
        <v>2000.0</v>
      </c>
      <c r="D30" s="5">
        <f t="shared" si="1"/>
        <v>519.2307692</v>
      </c>
      <c r="E30" s="6">
        <f t="shared" si="2"/>
        <v>1480.769231</v>
      </c>
    </row>
    <row r="31" ht="22.5" customHeight="1">
      <c r="A31" s="4">
        <v>26.0</v>
      </c>
      <c r="B31" s="5">
        <v>52000.0</v>
      </c>
      <c r="C31" s="5">
        <v>2000.0</v>
      </c>
      <c r="D31" s="5">
        <f t="shared" si="1"/>
        <v>538.4615385</v>
      </c>
      <c r="E31" s="6">
        <f t="shared" si="2"/>
        <v>1461.538462</v>
      </c>
    </row>
    <row r="32" ht="22.5" customHeight="1">
      <c r="A32" s="4">
        <v>27.0</v>
      </c>
      <c r="B32" s="5">
        <v>52000.0</v>
      </c>
      <c r="C32" s="5">
        <v>2000.0</v>
      </c>
      <c r="D32" s="5">
        <f t="shared" si="1"/>
        <v>557.6923077</v>
      </c>
      <c r="E32" s="6">
        <f t="shared" si="2"/>
        <v>1442.307692</v>
      </c>
    </row>
    <row r="33" ht="22.5" customHeight="1">
      <c r="A33" s="4">
        <v>28.0</v>
      </c>
      <c r="B33" s="5">
        <v>52000.0</v>
      </c>
      <c r="C33" s="5">
        <v>2000.0</v>
      </c>
      <c r="D33" s="5">
        <f t="shared" si="1"/>
        <v>576.9230769</v>
      </c>
      <c r="E33" s="6">
        <f t="shared" si="2"/>
        <v>1423.076923</v>
      </c>
    </row>
    <row r="34" ht="22.5" customHeight="1">
      <c r="A34" s="4">
        <v>29.0</v>
      </c>
      <c r="B34" s="5">
        <v>52000.0</v>
      </c>
      <c r="C34" s="5">
        <v>2000.0</v>
      </c>
      <c r="D34" s="5">
        <f t="shared" si="1"/>
        <v>596.1538462</v>
      </c>
      <c r="E34" s="6">
        <f t="shared" si="2"/>
        <v>1403.846154</v>
      </c>
    </row>
    <row r="35" ht="22.5" customHeight="1">
      <c r="A35" s="4">
        <v>30.0</v>
      </c>
      <c r="B35" s="5">
        <v>52000.0</v>
      </c>
      <c r="C35" s="5">
        <v>2000.0</v>
      </c>
      <c r="D35" s="5">
        <f t="shared" si="1"/>
        <v>615.3846154</v>
      </c>
      <c r="E35" s="6">
        <f t="shared" si="2"/>
        <v>1384.615385</v>
      </c>
    </row>
    <row r="36" ht="22.5" customHeight="1">
      <c r="A36" s="4">
        <v>31.0</v>
      </c>
      <c r="B36" s="5">
        <v>52000.0</v>
      </c>
      <c r="C36" s="5">
        <v>2000.0</v>
      </c>
      <c r="D36" s="5">
        <f t="shared" si="1"/>
        <v>634.6153846</v>
      </c>
      <c r="E36" s="6">
        <f t="shared" si="2"/>
        <v>1365.384615</v>
      </c>
    </row>
    <row r="37" ht="22.5" customHeight="1">
      <c r="A37" s="4">
        <v>32.0</v>
      </c>
      <c r="B37" s="5">
        <v>52000.0</v>
      </c>
      <c r="C37" s="5">
        <v>2000.0</v>
      </c>
      <c r="D37" s="5">
        <f t="shared" si="1"/>
        <v>653.8461538</v>
      </c>
      <c r="E37" s="6">
        <f t="shared" si="2"/>
        <v>1346.153846</v>
      </c>
    </row>
    <row r="38" ht="22.5" customHeight="1">
      <c r="A38" s="4">
        <v>33.0</v>
      </c>
      <c r="B38" s="5">
        <v>52000.0</v>
      </c>
      <c r="C38" s="5">
        <v>2000.0</v>
      </c>
      <c r="D38" s="5">
        <f t="shared" si="1"/>
        <v>673.0769231</v>
      </c>
      <c r="E38" s="6">
        <f t="shared" si="2"/>
        <v>1326.923077</v>
      </c>
    </row>
  </sheetData>
  <dataValidations>
    <dataValidation type="custom" allowBlank="1" showDropDown="1" sqref="D4:D38">
      <formula1>AND(ISNUMBER(D4),(NOT(OR(NOT(ISERROR(DATEVALUE(D4))), AND(ISNUMBER(D4), LEFT(CELL("format", D4))="D")))))</formula1>
    </dataValidation>
  </dataValidations>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14"/>
    <col customWidth="1" min="2" max="2" width="60.71"/>
    <col customWidth="1" min="3" max="3" width="13.29"/>
    <col customWidth="1" min="4" max="4" width="39.0"/>
    <col customWidth="1" min="5" max="5" width="34.43"/>
    <col customWidth="1" min="6" max="6" width="60.0"/>
    <col customWidth="1" min="7" max="7" width="94.71"/>
    <col customWidth="1" min="8" max="8" width="17.0"/>
    <col customWidth="1" min="9" max="9" width="17.86"/>
    <col customWidth="1" min="10" max="26" width="8.71"/>
  </cols>
  <sheetData>
    <row r="1" ht="22.5" customHeight="1">
      <c r="A1" s="10" t="s">
        <v>11</v>
      </c>
      <c r="B1" s="10" t="s">
        <v>12</v>
      </c>
      <c r="C1" s="10" t="s">
        <v>13</v>
      </c>
      <c r="D1" s="10" t="s">
        <v>14</v>
      </c>
      <c r="E1" s="10" t="s">
        <v>15</v>
      </c>
      <c r="F1" s="10" t="s">
        <v>16</v>
      </c>
      <c r="G1" s="10" t="s">
        <v>17</v>
      </c>
      <c r="H1" s="10" t="s">
        <v>18</v>
      </c>
      <c r="I1" s="8" t="s">
        <v>19</v>
      </c>
    </row>
    <row r="2" ht="22.5" customHeight="1">
      <c r="A2" s="4" t="s">
        <v>20</v>
      </c>
      <c r="B2" s="4" t="s">
        <v>21</v>
      </c>
      <c r="C2" s="4" t="s">
        <v>22</v>
      </c>
      <c r="D2" s="4" t="s">
        <v>23</v>
      </c>
      <c r="E2" s="4" t="s">
        <v>24</v>
      </c>
      <c r="F2" s="4" t="s">
        <v>25</v>
      </c>
      <c r="G2" s="4" t="s">
        <v>26</v>
      </c>
      <c r="H2" s="4" t="s">
        <v>27</v>
      </c>
      <c r="I2" s="4"/>
    </row>
    <row r="3" ht="22.5" customHeight="1">
      <c r="A3" s="11" t="s">
        <v>28</v>
      </c>
      <c r="B3" s="4" t="s">
        <v>29</v>
      </c>
      <c r="C3" s="4" t="s">
        <v>30</v>
      </c>
      <c r="D3" s="4" t="s">
        <v>31</v>
      </c>
      <c r="E3" s="4" t="s">
        <v>32</v>
      </c>
      <c r="F3" s="4" t="s">
        <v>33</v>
      </c>
      <c r="G3" s="4" t="s">
        <v>34</v>
      </c>
      <c r="H3" s="4" t="s">
        <v>27</v>
      </c>
      <c r="I3" s="4"/>
    </row>
    <row r="4" ht="22.5" customHeight="1">
      <c r="A4" s="4" t="s">
        <v>35</v>
      </c>
      <c r="B4" s="4" t="s">
        <v>36</v>
      </c>
      <c r="C4" s="4" t="s">
        <v>30</v>
      </c>
      <c r="D4" s="4" t="s">
        <v>23</v>
      </c>
      <c r="E4" s="4" t="s">
        <v>37</v>
      </c>
      <c r="F4" s="4" t="s">
        <v>38</v>
      </c>
      <c r="G4" s="4" t="s">
        <v>39</v>
      </c>
      <c r="H4" s="4" t="s">
        <v>27</v>
      </c>
      <c r="I4" s="4"/>
    </row>
    <row r="5" ht="22.5" customHeight="1">
      <c r="A5" s="11" t="s">
        <v>40</v>
      </c>
      <c r="B5" s="4" t="s">
        <v>41</v>
      </c>
      <c r="C5" s="4" t="s">
        <v>30</v>
      </c>
      <c r="D5" s="4" t="s">
        <v>23</v>
      </c>
      <c r="E5" s="4" t="s">
        <v>42</v>
      </c>
      <c r="F5" s="4" t="s">
        <v>43</v>
      </c>
      <c r="G5" s="4" t="s">
        <v>44</v>
      </c>
      <c r="H5" s="4" t="s">
        <v>27</v>
      </c>
    </row>
    <row r="6" ht="22.5" customHeight="1">
      <c r="A6" s="4" t="s">
        <v>45</v>
      </c>
      <c r="B6" s="4" t="s">
        <v>46</v>
      </c>
      <c r="C6" s="4" t="s">
        <v>30</v>
      </c>
      <c r="D6" s="4" t="s">
        <v>23</v>
      </c>
      <c r="E6" s="4" t="s">
        <v>47</v>
      </c>
      <c r="F6" s="4" t="s">
        <v>48</v>
      </c>
      <c r="G6" s="4" t="s">
        <v>49</v>
      </c>
      <c r="H6" s="4" t="s">
        <v>27</v>
      </c>
    </row>
    <row r="7" ht="22.5" customHeight="1">
      <c r="A7" s="4" t="s">
        <v>50</v>
      </c>
      <c r="B7" s="4" t="s">
        <v>51</v>
      </c>
      <c r="C7" s="4" t="s">
        <v>30</v>
      </c>
      <c r="D7" s="4" t="s">
        <v>23</v>
      </c>
      <c r="E7" s="4" t="s">
        <v>52</v>
      </c>
      <c r="F7" s="4" t="s">
        <v>53</v>
      </c>
      <c r="G7" s="4" t="s">
        <v>54</v>
      </c>
      <c r="H7" s="4" t="s">
        <v>55</v>
      </c>
      <c r="I7" s="4"/>
    </row>
    <row r="8" ht="22.5" customHeight="1">
      <c r="A8" s="11" t="s">
        <v>56</v>
      </c>
      <c r="B8" s="4" t="s">
        <v>57</v>
      </c>
      <c r="C8" s="4" t="s">
        <v>30</v>
      </c>
      <c r="D8" s="4" t="s">
        <v>23</v>
      </c>
      <c r="E8" s="4" t="s">
        <v>58</v>
      </c>
      <c r="F8" s="4" t="s">
        <v>59</v>
      </c>
      <c r="G8" s="4" t="s">
        <v>60</v>
      </c>
      <c r="H8" s="4" t="s">
        <v>61</v>
      </c>
      <c r="I8" s="4" t="s">
        <v>62</v>
      </c>
    </row>
    <row r="9" ht="22.5" customHeight="1">
      <c r="A9" s="4" t="s">
        <v>63</v>
      </c>
      <c r="B9" s="11" t="s">
        <v>64</v>
      </c>
      <c r="C9" s="11" t="s">
        <v>22</v>
      </c>
      <c r="D9" s="11" t="s">
        <v>65</v>
      </c>
      <c r="E9" s="4" t="s">
        <v>32</v>
      </c>
      <c r="F9" s="11" t="s">
        <v>66</v>
      </c>
      <c r="G9" s="4" t="s">
        <v>67</v>
      </c>
      <c r="H9" s="4" t="s">
        <v>27</v>
      </c>
      <c r="I9" s="4" t="s">
        <v>32</v>
      </c>
    </row>
    <row r="10" ht="22.5" customHeight="1">
      <c r="A10" s="11" t="s">
        <v>68</v>
      </c>
      <c r="B10" s="11" t="s">
        <v>69</v>
      </c>
      <c r="C10" s="11" t="s">
        <v>70</v>
      </c>
      <c r="D10" s="11" t="s">
        <v>65</v>
      </c>
      <c r="E10" s="12" t="s">
        <v>71</v>
      </c>
      <c r="F10" s="4" t="s">
        <v>72</v>
      </c>
      <c r="G10" s="4" t="s">
        <v>73</v>
      </c>
      <c r="H10" s="4" t="s">
        <v>74</v>
      </c>
      <c r="I10" s="4" t="s">
        <v>75</v>
      </c>
    </row>
    <row r="11" ht="22.5" customHeight="1">
      <c r="A11" s="4" t="s">
        <v>76</v>
      </c>
      <c r="B11" s="4" t="s">
        <v>77</v>
      </c>
      <c r="C11" s="4" t="s">
        <v>30</v>
      </c>
      <c r="D11" s="4" t="s">
        <v>65</v>
      </c>
      <c r="E11" s="4" t="s">
        <v>78</v>
      </c>
      <c r="F11" s="4" t="s">
        <v>79</v>
      </c>
      <c r="G11" s="4" t="s">
        <v>80</v>
      </c>
      <c r="H11" s="4" t="s">
        <v>27</v>
      </c>
    </row>
    <row r="12" ht="22.5" customHeight="1">
      <c r="A12" s="4" t="s">
        <v>81</v>
      </c>
      <c r="B12" s="4" t="s">
        <v>82</v>
      </c>
      <c r="C12" s="4" t="s">
        <v>30</v>
      </c>
      <c r="D12" s="4" t="s">
        <v>65</v>
      </c>
      <c r="E12" s="4" t="s">
        <v>32</v>
      </c>
      <c r="F12" s="4" t="s">
        <v>83</v>
      </c>
      <c r="G12" s="4" t="s">
        <v>84</v>
      </c>
      <c r="H12" s="4" t="s">
        <v>85</v>
      </c>
      <c r="I12" s="4" t="s">
        <v>75</v>
      </c>
    </row>
    <row r="13" ht="22.5" customHeight="1">
      <c r="A13" s="11" t="s">
        <v>86</v>
      </c>
      <c r="B13" s="4" t="s">
        <v>87</v>
      </c>
      <c r="C13" s="4" t="s">
        <v>30</v>
      </c>
      <c r="D13" s="4" t="s">
        <v>65</v>
      </c>
      <c r="E13" s="4" t="s">
        <v>88</v>
      </c>
      <c r="F13" s="4" t="s">
        <v>89</v>
      </c>
      <c r="G13" s="4" t="s">
        <v>90</v>
      </c>
      <c r="H13" s="4" t="s">
        <v>91</v>
      </c>
    </row>
    <row r="14" ht="22.5" customHeight="1">
      <c r="A14" s="4" t="s">
        <v>92</v>
      </c>
      <c r="B14" s="4" t="s">
        <v>93</v>
      </c>
      <c r="C14" s="4" t="s">
        <v>30</v>
      </c>
      <c r="D14" s="4" t="s">
        <v>65</v>
      </c>
      <c r="E14" s="4" t="s">
        <v>94</v>
      </c>
      <c r="F14" s="4" t="s">
        <v>89</v>
      </c>
      <c r="G14" s="4" t="s">
        <v>90</v>
      </c>
      <c r="H14" s="4" t="s">
        <v>91</v>
      </c>
    </row>
    <row r="15" ht="22.5" customHeight="1">
      <c r="A15" s="11" t="s">
        <v>95</v>
      </c>
      <c r="B15" s="4" t="s">
        <v>96</v>
      </c>
      <c r="C15" s="4" t="s">
        <v>30</v>
      </c>
      <c r="D15" s="4" t="s">
        <v>65</v>
      </c>
      <c r="E15" s="4" t="s">
        <v>97</v>
      </c>
      <c r="F15" s="4" t="s">
        <v>89</v>
      </c>
      <c r="G15" s="4" t="s">
        <v>90</v>
      </c>
      <c r="H15" s="4" t="s">
        <v>91</v>
      </c>
    </row>
    <row r="16" ht="22.5" customHeight="1">
      <c r="A16" s="4" t="s">
        <v>98</v>
      </c>
      <c r="B16" s="4" t="s">
        <v>99</v>
      </c>
      <c r="C16" s="11" t="s">
        <v>22</v>
      </c>
      <c r="D16" s="4" t="s">
        <v>100</v>
      </c>
      <c r="E16" s="4" t="s">
        <v>32</v>
      </c>
      <c r="F16" s="4" t="s">
        <v>101</v>
      </c>
      <c r="G16" s="4" t="s">
        <v>102</v>
      </c>
      <c r="H16" s="4" t="s">
        <v>27</v>
      </c>
    </row>
    <row r="17" ht="22.5" customHeight="1">
      <c r="A17" s="4" t="s">
        <v>103</v>
      </c>
      <c r="B17" s="4" t="s">
        <v>104</v>
      </c>
      <c r="C17" s="11" t="s">
        <v>22</v>
      </c>
      <c r="D17" s="4" t="s">
        <v>100</v>
      </c>
      <c r="E17" s="4" t="s">
        <v>105</v>
      </c>
      <c r="F17" s="4" t="s">
        <v>106</v>
      </c>
      <c r="G17" s="4" t="s">
        <v>107</v>
      </c>
      <c r="H17" s="4" t="s">
        <v>27</v>
      </c>
    </row>
    <row r="18" ht="22.5" customHeight="1">
      <c r="A18" s="11" t="s">
        <v>108</v>
      </c>
      <c r="B18" s="4" t="s">
        <v>109</v>
      </c>
      <c r="C18" s="11" t="s">
        <v>22</v>
      </c>
      <c r="D18" s="4" t="s">
        <v>100</v>
      </c>
      <c r="E18" s="4" t="s">
        <v>110</v>
      </c>
      <c r="F18" s="4" t="s">
        <v>111</v>
      </c>
      <c r="G18" s="4" t="s">
        <v>112</v>
      </c>
      <c r="H18" s="4" t="s">
        <v>27</v>
      </c>
    </row>
    <row r="19" ht="22.5" customHeight="1">
      <c r="A19" s="4" t="s">
        <v>113</v>
      </c>
      <c r="B19" s="4" t="s">
        <v>114</v>
      </c>
      <c r="C19" s="4" t="s">
        <v>30</v>
      </c>
      <c r="D19" s="4" t="s">
        <v>100</v>
      </c>
      <c r="E19" s="4" t="s">
        <v>115</v>
      </c>
      <c r="F19" s="4" t="s">
        <v>116</v>
      </c>
      <c r="G19" s="4" t="s">
        <v>117</v>
      </c>
      <c r="H19" s="4" t="s">
        <v>27</v>
      </c>
    </row>
    <row r="20" ht="22.5" customHeight="1">
      <c r="A20" s="11" t="s">
        <v>118</v>
      </c>
      <c r="B20" s="4" t="s">
        <v>119</v>
      </c>
      <c r="C20" s="11" t="s">
        <v>70</v>
      </c>
      <c r="D20" s="4" t="s">
        <v>65</v>
      </c>
      <c r="E20" s="4" t="s">
        <v>120</v>
      </c>
      <c r="F20" s="4" t="s">
        <v>116</v>
      </c>
      <c r="G20" s="4" t="s">
        <v>112</v>
      </c>
      <c r="H20" s="4" t="s">
        <v>27</v>
      </c>
    </row>
    <row r="21" ht="22.5" customHeight="1">
      <c r="A21" s="4" t="s">
        <v>121</v>
      </c>
      <c r="B21" s="4" t="s">
        <v>122</v>
      </c>
      <c r="C21" s="11" t="s">
        <v>22</v>
      </c>
      <c r="D21" s="4" t="s">
        <v>100</v>
      </c>
      <c r="E21" s="4" t="s">
        <v>123</v>
      </c>
      <c r="F21" s="4" t="s">
        <v>124</v>
      </c>
      <c r="G21" s="4" t="s">
        <v>125</v>
      </c>
      <c r="H21" s="4" t="s">
        <v>27</v>
      </c>
    </row>
    <row r="22" ht="51.75" customHeight="1">
      <c r="A22" s="4" t="s">
        <v>126</v>
      </c>
      <c r="B22" s="4" t="s">
        <v>127</v>
      </c>
      <c r="C22" s="4" t="s">
        <v>22</v>
      </c>
      <c r="D22" s="4" t="s">
        <v>100</v>
      </c>
      <c r="E22" s="4" t="s">
        <v>128</v>
      </c>
      <c r="F22" s="4" t="s">
        <v>129</v>
      </c>
      <c r="G22" s="4" t="s">
        <v>130</v>
      </c>
      <c r="H22" s="4" t="s">
        <v>61</v>
      </c>
      <c r="I22" s="4" t="s">
        <v>131</v>
      </c>
    </row>
    <row r="23" ht="22.5" customHeight="1">
      <c r="A23" s="11" t="s">
        <v>132</v>
      </c>
      <c r="B23" s="4" t="s">
        <v>133</v>
      </c>
      <c r="C23" s="4" t="s">
        <v>22</v>
      </c>
      <c r="D23" s="4" t="s">
        <v>100</v>
      </c>
      <c r="E23" s="4" t="s">
        <v>134</v>
      </c>
      <c r="F23" s="4" t="s">
        <v>135</v>
      </c>
      <c r="G23" s="4" t="s">
        <v>136</v>
      </c>
      <c r="H23" s="4" t="s">
        <v>27</v>
      </c>
    </row>
    <row r="24" ht="22.5" customHeight="1">
      <c r="A24" s="4" t="s">
        <v>137</v>
      </c>
      <c r="B24" s="4" t="s">
        <v>138</v>
      </c>
      <c r="C24" s="4" t="s">
        <v>30</v>
      </c>
      <c r="D24" s="4" t="s">
        <v>100</v>
      </c>
      <c r="E24" s="4" t="s">
        <v>134</v>
      </c>
      <c r="F24" s="4" t="s">
        <v>139</v>
      </c>
      <c r="G24" s="4" t="s">
        <v>140</v>
      </c>
      <c r="H24" s="4" t="s">
        <v>27</v>
      </c>
    </row>
    <row r="25" ht="15.75" customHeight="1"/>
    <row r="26" ht="15.75" customHeight="1">
      <c r="B26" s="13" t="s">
        <v>141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43.0"/>
    <col customWidth="1" min="5" max="5" width="16.71"/>
    <col customWidth="1" min="6" max="6" width="27.57"/>
    <col customWidth="1" min="7" max="7" width="150.43"/>
  </cols>
  <sheetData>
    <row r="1" ht="22.5" customHeight="1">
      <c r="A1" s="1" t="s">
        <v>142</v>
      </c>
      <c r="B1" s="1" t="s">
        <v>143</v>
      </c>
      <c r="C1" s="1" t="s">
        <v>144</v>
      </c>
      <c r="D1" s="1" t="s">
        <v>13</v>
      </c>
      <c r="E1" s="1" t="s">
        <v>145</v>
      </c>
      <c r="F1" s="1" t="s">
        <v>18</v>
      </c>
      <c r="G1" s="14" t="s">
        <v>146</v>
      </c>
    </row>
    <row r="2" ht="70.5" customHeight="1">
      <c r="A2" s="4" t="s">
        <v>147</v>
      </c>
      <c r="B2" s="4" t="s">
        <v>148</v>
      </c>
      <c r="C2" s="4" t="s">
        <v>149</v>
      </c>
      <c r="D2" s="4" t="s">
        <v>22</v>
      </c>
      <c r="E2" s="4" t="s">
        <v>150</v>
      </c>
      <c r="F2" s="4" t="s">
        <v>151</v>
      </c>
      <c r="G2" s="4" t="s">
        <v>152</v>
      </c>
    </row>
    <row r="3" ht="22.5" customHeight="1">
      <c r="A3" s="4" t="s">
        <v>153</v>
      </c>
      <c r="B3" s="4" t="s">
        <v>148</v>
      </c>
      <c r="C3" s="4" t="s">
        <v>154</v>
      </c>
      <c r="D3" s="4" t="s">
        <v>22</v>
      </c>
      <c r="E3" s="4" t="s">
        <v>150</v>
      </c>
      <c r="F3" s="4" t="s">
        <v>151</v>
      </c>
      <c r="G3" s="4" t="s">
        <v>155</v>
      </c>
    </row>
    <row r="4" ht="22.5" customHeight="1">
      <c r="A4" s="4" t="s">
        <v>156</v>
      </c>
      <c r="B4" s="4" t="s">
        <v>148</v>
      </c>
      <c r="C4" s="4" t="s">
        <v>157</v>
      </c>
      <c r="D4" s="4" t="s">
        <v>30</v>
      </c>
      <c r="E4" s="4" t="s">
        <v>158</v>
      </c>
      <c r="F4" s="4" t="s">
        <v>91</v>
      </c>
      <c r="G4" s="4" t="s">
        <v>159</v>
      </c>
    </row>
    <row r="5" ht="22.5" customHeight="1">
      <c r="A5" s="4" t="s">
        <v>160</v>
      </c>
      <c r="B5" s="4" t="s">
        <v>148</v>
      </c>
      <c r="C5" s="4" t="s">
        <v>161</v>
      </c>
      <c r="D5" s="4" t="s">
        <v>30</v>
      </c>
      <c r="E5" s="4" t="s">
        <v>158</v>
      </c>
      <c r="F5" s="4" t="s">
        <v>151</v>
      </c>
      <c r="G5" s="4" t="s">
        <v>162</v>
      </c>
    </row>
    <row r="6" ht="22.5" customHeight="1">
      <c r="A6" s="4" t="s">
        <v>163</v>
      </c>
      <c r="B6" s="4" t="s">
        <v>164</v>
      </c>
      <c r="C6" s="4" t="s">
        <v>165</v>
      </c>
      <c r="D6" s="4" t="s">
        <v>22</v>
      </c>
      <c r="E6" s="4" t="s">
        <v>166</v>
      </c>
      <c r="F6" s="4" t="s">
        <v>55</v>
      </c>
      <c r="G6" s="4" t="s">
        <v>167</v>
      </c>
    </row>
    <row r="7" ht="22.5" customHeight="1">
      <c r="A7" s="4" t="s">
        <v>168</v>
      </c>
      <c r="B7" s="4" t="s">
        <v>164</v>
      </c>
      <c r="C7" s="4" t="s">
        <v>169</v>
      </c>
      <c r="D7" s="4" t="s">
        <v>22</v>
      </c>
      <c r="E7" s="4" t="s">
        <v>166</v>
      </c>
      <c r="F7" s="4" t="s">
        <v>55</v>
      </c>
      <c r="G7" s="4" t="s">
        <v>167</v>
      </c>
    </row>
    <row r="8" ht="22.5" customHeight="1">
      <c r="A8" s="4" t="s">
        <v>170</v>
      </c>
      <c r="B8" s="4" t="s">
        <v>164</v>
      </c>
      <c r="C8" s="4" t="s">
        <v>171</v>
      </c>
      <c r="D8" s="4" t="s">
        <v>22</v>
      </c>
      <c r="E8" s="4" t="s">
        <v>166</v>
      </c>
      <c r="F8" s="4" t="s">
        <v>55</v>
      </c>
    </row>
    <row r="9" ht="22.5" customHeight="1">
      <c r="A9" s="4" t="s">
        <v>172</v>
      </c>
      <c r="B9" s="4" t="s">
        <v>164</v>
      </c>
      <c r="C9" s="4" t="s">
        <v>173</v>
      </c>
      <c r="D9" s="4" t="s">
        <v>22</v>
      </c>
      <c r="E9" s="4" t="s">
        <v>166</v>
      </c>
      <c r="F9" s="4" t="s">
        <v>55</v>
      </c>
    </row>
    <row r="10" ht="22.5" customHeight="1">
      <c r="A10" s="4" t="s">
        <v>174</v>
      </c>
      <c r="B10" s="4" t="s">
        <v>164</v>
      </c>
      <c r="C10" s="4" t="s">
        <v>175</v>
      </c>
      <c r="D10" s="4" t="s">
        <v>30</v>
      </c>
      <c r="E10" s="4" t="s">
        <v>158</v>
      </c>
      <c r="F10" s="4" t="s">
        <v>55</v>
      </c>
      <c r="G10" s="4" t="s">
        <v>176</v>
      </c>
    </row>
    <row r="11" ht="22.5" customHeight="1">
      <c r="A11" s="4" t="s">
        <v>177</v>
      </c>
      <c r="B11" s="4" t="s">
        <v>164</v>
      </c>
      <c r="C11" s="4" t="s">
        <v>178</v>
      </c>
      <c r="D11" s="4" t="s">
        <v>30</v>
      </c>
      <c r="E11" s="4" t="s">
        <v>158</v>
      </c>
      <c r="F11" s="4" t="s">
        <v>179</v>
      </c>
    </row>
    <row r="12" ht="22.5" customHeight="1">
      <c r="A12" s="4" t="s">
        <v>180</v>
      </c>
      <c r="B12" s="4" t="s">
        <v>164</v>
      </c>
      <c r="C12" s="4" t="s">
        <v>181</v>
      </c>
      <c r="D12" s="4" t="s">
        <v>30</v>
      </c>
      <c r="E12" s="4" t="s">
        <v>158</v>
      </c>
      <c r="F12" s="4" t="s">
        <v>179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57"/>
    <col customWidth="1" min="2" max="2" width="43.0"/>
    <col customWidth="1" min="3" max="3" width="14.0"/>
    <col customWidth="1" min="4" max="4" width="13.29"/>
    <col customWidth="1" min="5" max="5" width="33.71"/>
    <col customWidth="1" min="6" max="6" width="31.57"/>
    <col customWidth="1" min="7" max="12" width="43.0"/>
  </cols>
  <sheetData>
    <row r="1" ht="22.5" customHeight="1">
      <c r="A1" s="1" t="s">
        <v>182</v>
      </c>
      <c r="B1" s="1" t="s">
        <v>12</v>
      </c>
      <c r="C1" s="1" t="s">
        <v>183</v>
      </c>
      <c r="D1" s="1" t="s">
        <v>13</v>
      </c>
      <c r="E1" s="1" t="s">
        <v>184</v>
      </c>
      <c r="F1" s="1" t="s">
        <v>16</v>
      </c>
      <c r="G1" s="1" t="s">
        <v>185</v>
      </c>
      <c r="H1" s="1" t="s">
        <v>186</v>
      </c>
      <c r="I1" s="1" t="s">
        <v>146</v>
      </c>
      <c r="J1" s="1" t="s">
        <v>187</v>
      </c>
      <c r="K1" s="15" t="s">
        <v>188</v>
      </c>
    </row>
    <row r="2" ht="22.5" customHeight="1">
      <c r="A2" s="4" t="s">
        <v>75</v>
      </c>
      <c r="B2" s="4" t="s">
        <v>189</v>
      </c>
      <c r="C2" s="4" t="s">
        <v>70</v>
      </c>
      <c r="D2" s="4" t="s">
        <v>22</v>
      </c>
      <c r="E2" s="4" t="s">
        <v>190</v>
      </c>
      <c r="F2" s="4" t="s">
        <v>191</v>
      </c>
      <c r="G2" s="4" t="s">
        <v>192</v>
      </c>
      <c r="H2" s="4" t="s">
        <v>193</v>
      </c>
      <c r="I2" s="4" t="s">
        <v>194</v>
      </c>
      <c r="K2" s="16" t="s">
        <v>195</v>
      </c>
    </row>
    <row r="3" ht="86.25" customHeight="1">
      <c r="A3" s="4" t="s">
        <v>131</v>
      </c>
      <c r="B3" s="4" t="s">
        <v>196</v>
      </c>
      <c r="C3" s="4" t="s">
        <v>30</v>
      </c>
      <c r="D3" s="4" t="s">
        <v>30</v>
      </c>
      <c r="E3" s="4" t="s">
        <v>100</v>
      </c>
      <c r="F3" s="4" t="s">
        <v>197</v>
      </c>
      <c r="G3" s="4" t="s">
        <v>198</v>
      </c>
      <c r="H3" s="4" t="s">
        <v>199</v>
      </c>
      <c r="I3" s="4" t="s">
        <v>200</v>
      </c>
      <c r="J3" s="4"/>
      <c r="K3" s="16" t="s">
        <v>201</v>
      </c>
    </row>
    <row r="4" ht="22.5" customHeight="1">
      <c r="A4" s="4" t="s">
        <v>202</v>
      </c>
      <c r="B4" s="4" t="s">
        <v>203</v>
      </c>
      <c r="C4" s="4" t="s">
        <v>204</v>
      </c>
      <c r="D4" s="4" t="s">
        <v>204</v>
      </c>
      <c r="E4" s="4" t="s">
        <v>205</v>
      </c>
      <c r="F4" s="4" t="s">
        <v>206</v>
      </c>
      <c r="G4" s="4" t="s">
        <v>207</v>
      </c>
      <c r="H4" s="4" t="s">
        <v>208</v>
      </c>
      <c r="I4" s="4" t="s">
        <v>209</v>
      </c>
      <c r="K4" s="16" t="s">
        <v>188</v>
      </c>
    </row>
    <row r="5" ht="64.5" customHeight="1">
      <c r="A5" s="4" t="s">
        <v>62</v>
      </c>
      <c r="B5" s="4" t="s">
        <v>210</v>
      </c>
      <c r="C5" s="4" t="s">
        <v>30</v>
      </c>
      <c r="D5" s="4" t="s">
        <v>30</v>
      </c>
      <c r="E5" s="4" t="s">
        <v>23</v>
      </c>
      <c r="F5" s="4" t="s">
        <v>211</v>
      </c>
      <c r="G5" s="4" t="s">
        <v>212</v>
      </c>
      <c r="H5" s="4" t="s">
        <v>213</v>
      </c>
      <c r="I5" s="4" t="s">
        <v>214</v>
      </c>
      <c r="K5" s="17"/>
    </row>
    <row r="6" ht="87.0" customHeight="1">
      <c r="A6" s="4" t="s">
        <v>215</v>
      </c>
      <c r="B6" s="4" t="s">
        <v>216</v>
      </c>
      <c r="C6" s="4" t="s">
        <v>204</v>
      </c>
      <c r="D6" s="4" t="s">
        <v>204</v>
      </c>
      <c r="E6" s="4" t="s">
        <v>217</v>
      </c>
      <c r="F6" s="4" t="s">
        <v>218</v>
      </c>
      <c r="G6" s="4" t="s">
        <v>219</v>
      </c>
      <c r="H6" s="4" t="s">
        <v>220</v>
      </c>
      <c r="I6" s="4" t="s">
        <v>221</v>
      </c>
      <c r="K6" s="17"/>
    </row>
    <row r="7" ht="77.25" customHeight="1">
      <c r="A7" s="4" t="s">
        <v>222</v>
      </c>
      <c r="B7" s="8" t="s">
        <v>223</v>
      </c>
      <c r="C7" s="4" t="s">
        <v>30</v>
      </c>
      <c r="D7" s="4" t="s">
        <v>22</v>
      </c>
      <c r="E7" s="4" t="s">
        <v>224</v>
      </c>
      <c r="F7" s="4" t="s">
        <v>225</v>
      </c>
      <c r="G7" s="4" t="s">
        <v>226</v>
      </c>
      <c r="H7" s="4" t="s">
        <v>227</v>
      </c>
      <c r="I7" s="4" t="s">
        <v>228</v>
      </c>
      <c r="K7" s="17"/>
    </row>
    <row r="8" ht="85.5" customHeight="1">
      <c r="A8" s="4" t="s">
        <v>229</v>
      </c>
      <c r="B8" s="18" t="s">
        <v>230</v>
      </c>
      <c r="C8" s="4" t="s">
        <v>22</v>
      </c>
      <c r="D8" s="4" t="s">
        <v>22</v>
      </c>
      <c r="E8" s="4" t="s">
        <v>231</v>
      </c>
      <c r="F8" s="4" t="s">
        <v>232</v>
      </c>
      <c r="G8" s="4" t="s">
        <v>233</v>
      </c>
      <c r="H8" s="4" t="s">
        <v>234</v>
      </c>
      <c r="I8" s="4" t="s">
        <v>235</v>
      </c>
      <c r="K8" s="16" t="s">
        <v>236</v>
      </c>
    </row>
    <row r="9" ht="57.75" customHeight="1">
      <c r="A9" s="4" t="s">
        <v>237</v>
      </c>
      <c r="E9" s="16"/>
      <c r="F9" s="16"/>
      <c r="G9" s="16"/>
      <c r="H9" s="16"/>
      <c r="I9" s="16"/>
      <c r="J9" s="17"/>
      <c r="K9" s="1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18.57"/>
    <col customWidth="1" min="3" max="3" width="116.57"/>
    <col customWidth="1" min="4" max="4" width="43.0"/>
    <col customWidth="1" min="5" max="5" width="32.57"/>
  </cols>
  <sheetData>
    <row r="1" ht="22.5" customHeight="1">
      <c r="A1" s="1" t="s">
        <v>142</v>
      </c>
      <c r="B1" s="1" t="s">
        <v>143</v>
      </c>
      <c r="C1" s="1" t="s">
        <v>238</v>
      </c>
      <c r="D1" s="1" t="s">
        <v>239</v>
      </c>
      <c r="E1" s="8" t="s">
        <v>240</v>
      </c>
    </row>
    <row r="2" ht="53.25" customHeight="1">
      <c r="A2" s="4" t="s">
        <v>241</v>
      </c>
      <c r="B2" s="4" t="s">
        <v>242</v>
      </c>
      <c r="C2" s="4" t="s">
        <v>243</v>
      </c>
      <c r="D2" s="4" t="s">
        <v>244</v>
      </c>
    </row>
    <row r="3" ht="109.5" customHeight="1">
      <c r="A3" s="4" t="s">
        <v>245</v>
      </c>
      <c r="B3" s="4" t="s">
        <v>242</v>
      </c>
      <c r="C3" s="4" t="s">
        <v>246</v>
      </c>
      <c r="D3" s="4" t="s">
        <v>247</v>
      </c>
    </row>
    <row r="4" ht="22.5" customHeight="1">
      <c r="A4" s="4" t="s">
        <v>248</v>
      </c>
      <c r="B4" s="4" t="s">
        <v>242</v>
      </c>
      <c r="C4" s="4" t="s">
        <v>249</v>
      </c>
      <c r="D4" s="4" t="s">
        <v>250</v>
      </c>
    </row>
  </sheetData>
  <drawing r:id="rId1"/>
  <tableParts count="1">
    <tablePart r:id="rId3"/>
  </tableParts>
</worksheet>
</file>